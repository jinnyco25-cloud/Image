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0ac037258b2ed/바탕 화면/구매대행/더미르스토어/Image/"/>
    </mc:Choice>
  </mc:AlternateContent>
  <xr:revisionPtr revIDLastSave="7" documentId="13_ncr:1_{24B7259F-D59C-4220-AFFC-FCFE9C875396}" xr6:coauthVersionLast="47" xr6:coauthVersionMax="47" xr10:uidLastSave="{44A65773-B951-46B4-BDF5-13AE76889AE6}"/>
  <bookViews>
    <workbookView xWindow="-120" yWindow="-120" windowWidth="38640" windowHeight="2112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5" l="1"/>
  <c r="X3" i="5"/>
  <c r="W3" i="5"/>
</calcChain>
</file>

<file path=xl/sharedStrings.xml><?xml version="1.0" encoding="utf-8"?>
<sst xmlns="http://schemas.openxmlformats.org/spreadsheetml/2006/main" count="111" uniqueCount="111">
  <si>
    <t>추가상품명</t>
  </si>
  <si>
    <t>추가상품값</t>
  </si>
  <si>
    <t>추가상품가</t>
  </si>
  <si>
    <t>추가상품 재고수량</t>
  </si>
  <si>
    <t>원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</si>
  <si>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</si>
  <si>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</si>
  <si>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</si>
  <si>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</si>
  <si>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</si>
  <si>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</si>
  <si>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</si>
  <si>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</si>
  <si>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</si>
  <si>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</si>
  <si>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</si>
  <si>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</si>
  <si>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</si>
  <si>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</si>
  <si>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</si>
  <si>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</si>
  <si>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</si>
  <si>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</si>
  <si>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</si>
  <si>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</si>
  <si>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</si>
  <si>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</si>
  <si>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</si>
  <si>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</si>
  <si>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</si>
  <si>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</si>
  <si>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</si>
  <si>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</si>
  <si>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</si>
  <si>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</si>
  <si>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</si>
  <si>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</si>
  <si>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</si>
  <si>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</si>
  <si>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</si>
  <si>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</si>
  <si>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</si>
  <si>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</si>
  <si>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</si>
  <si>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</si>
  <si>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</si>
  <si>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</si>
  <si>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</si>
  <si>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</si>
  <si>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</si>
  <si>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</si>
  <si>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</si>
  <si>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</si>
  <si>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</si>
  <si>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</si>
  <si>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</si>
  <si>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</si>
  <si>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</si>
  <si>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</si>
  <si>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</si>
  <si>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</si>
  <si>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</si>
  <si>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</si>
  <si>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</si>
  <si>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</si>
  <si>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</si>
  <si>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</si>
  <si>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</si>
  <si>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</si>
  <si>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</si>
  <si>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</si>
  <si>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</si>
  <si>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</si>
  <si>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</si>
  <si>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</si>
  <si>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</si>
  <si>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</si>
  <si>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</si>
  <si>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</si>
  <si>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</si>
  <si>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</si>
  <si>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</si>
  <si>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</si>
  <si>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</si>
  <si>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</si>
  <si>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</si>
  <si>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택배사코드</t>
    <phoneticPr fontId="1" type="noConversion"/>
  </si>
  <si>
    <t>조건부무료-
상품판매가 합계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</si>
  <si>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</si>
  <si>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</si>
  <si>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</si>
  <si>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</si>
  <si>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</si>
  <si>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</si>
  <si>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</si>
  <si>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</si>
  <si>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</si>
  <si>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</si>
  <si>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</si>
  <si>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</si>
  <si>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</si>
  <si>
    <t>CFA-01502</t>
  </si>
  <si>
    <t>강아지 고양이 미스트 라벤더향 237ml 그루밍 스프레이 반려견 반려묘</t>
  </si>
  <si>
    <t>ml</t>
  </si>
  <si>
    <t>캘리포니아골드뉴트리션</t>
    <phoneticPr fontId="1" type="noConversion"/>
  </si>
  <si>
    <t>캘리포니아골드뉴트리션 협력사</t>
    <phoneticPr fontId="1" type="noConversion"/>
  </si>
  <si>
    <t>구매대행</t>
    <phoneticPr fontId="1" type="noConversion"/>
  </si>
  <si>
    <t>신상품</t>
  </si>
  <si>
    <t>070-4518-9456</t>
    <phoneticPr fontId="1" type="noConversion"/>
  </si>
  <si>
    <t>해외구매대행특성상 A/S 불가합니다.</t>
    <phoneticPr fontId="1" type="noConversion"/>
  </si>
  <si>
    <t>0204000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</si>
</sst>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나눔고딕"/>
      <family val="3"/>
      <charset val="129"/>
    </font>
    <font>
      <b/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9" fillId="15" borderId="5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2F000000}"/>
    <cellStyle name="표준 3" xfId="2" xr:uid="{00000000-0005-0000-0000-000032000000}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3"/>
  <sheetViews>
    <sheetView tabSelected="1" topLeftCell="R1" zoomScaleNormal="100" workbookViewId="0">
      <selection activeCell="Y4" sqref="Y4"/>
    </sheetView>
  </sheetViews>
  <sheetFormatPr defaultColWidth="9" defaultRowHeight="12" x14ac:dyDescent="0.2"/>
  <cols>
    <col min="1" max="1" width="19.375" style="8" customWidth="1"/>
    <col min="2" max="2" width="21.625" style="8" customWidth="1"/>
    <col min="3" max="3" width="19.375" style="8" customWidth="1"/>
    <col min="4" max="5" width="14" style="8" customWidth="1"/>
    <col min="6" max="6" width="26.875" style="8" customWidth="1"/>
    <col min="7" max="7" width="12.625" style="8" customWidth="1"/>
    <col min="8" max="8" width="15" style="8" customWidth="1"/>
    <col min="9" max="9" width="21" style="8" customWidth="1"/>
    <col min="10" max="10" width="14" style="8" customWidth="1"/>
    <col min="11" max="11" width="26.5" style="8" bestFit="1" customWidth="1"/>
    <col min="12" max="13" width="14" style="8" customWidth="1"/>
    <col min="14" max="15" width="14.625" style="8" customWidth="1"/>
    <col min="16" max="16" width="31.625" style="8" customWidth="1"/>
    <col min="17" max="17" width="27.625" style="8" customWidth="1"/>
    <col min="18" max="18" width="20.125" style="8" customWidth="1"/>
    <col min="19" max="22" width="16.875" style="8" customWidth="1"/>
    <col min="23" max="23" width="76.25" style="8" customWidth="1"/>
    <col min="24" max="24" width="45.75" style="8" bestFit="1" customWidth="1"/>
    <col min="25" max="25" width="78.125" style="8" bestFit="1" customWidth="1"/>
    <col min="26" max="34" width="14.375" style="8" customWidth="1"/>
    <col min="35" max="35" width="26.875" style="8" customWidth="1"/>
    <col min="36" max="40" width="18.875" style="8" customWidth="1"/>
    <col min="41" max="41" width="18.125" style="8" customWidth="1"/>
    <col min="42" max="43" width="17.125" style="8" customWidth="1"/>
    <col min="44" max="44" width="34" style="8" customWidth="1"/>
    <col min="45" max="45" width="17.125" style="8" customWidth="1"/>
    <col min="46" max="46" width="39.5" style="8" customWidth="1"/>
    <col min="47" max="50" width="17.125" style="8" customWidth="1"/>
    <col min="51" max="51" width="23" style="8" customWidth="1"/>
    <col min="52" max="52" width="35.5" style="8" customWidth="1"/>
    <col min="53" max="55" width="14.875" style="8" customWidth="1"/>
    <col min="56" max="70" width="16.375" style="8" customWidth="1"/>
    <col min="71" max="71" width="19.375" style="8" customWidth="1"/>
    <col min="72" max="73" width="16.375" style="8" customWidth="1"/>
    <col min="74" max="74" width="20" style="8" customWidth="1"/>
    <col min="75" max="93" width="16.375" style="8" customWidth="1"/>
    <col min="94" max="16384" width="9" style="8"/>
  </cols>
  <sheetData>
    <row r="1" spans="1:93" s="1" customFormat="1" ht="18.75" customHeight="1" x14ac:dyDescent="0.2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 t="s">
        <v>26</v>
      </c>
      <c r="AA1" s="25"/>
      <c r="AB1" s="25"/>
      <c r="AC1" s="25"/>
      <c r="AD1" s="25"/>
      <c r="AE1" s="25"/>
      <c r="AF1" s="25"/>
      <c r="AG1" s="25"/>
      <c r="AH1" s="25"/>
      <c r="AI1" s="26" t="s">
        <v>32</v>
      </c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8"/>
      <c r="AY1" s="29" t="s">
        <v>25</v>
      </c>
      <c r="AZ1" s="29"/>
      <c r="BA1" s="29"/>
      <c r="BB1" s="29"/>
      <c r="BC1" s="29"/>
      <c r="BD1" s="30" t="s">
        <v>17</v>
      </c>
      <c r="BE1" s="30"/>
      <c r="BF1" s="30"/>
      <c r="BG1" s="30"/>
      <c r="BH1" s="21" t="s">
        <v>43</v>
      </c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3"/>
      <c r="BY1" s="19" t="s">
        <v>45</v>
      </c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</row>
    <row r="2" spans="1:93" s="1" customFormat="1" ht="44.25" customHeight="1" x14ac:dyDescent="0.2">
      <c r="A2" t="s">
        <v>8</v>
      </c>
      <c r="B2" s="2" t="s">
        <v>52</v>
      </c>
      <c r="C2" s="2" t="s">
        <v>5</v>
      </c>
      <c r="D2" s="2" t="s">
        <v>9</v>
      </c>
      <c r="E2" s="2" t="s">
        <v>6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30</v>
      </c>
      <c r="K2" s="2" t="s">
        <v>100</v>
      </c>
      <c r="L2" s="2" t="s">
        <v>7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18</v>
      </c>
      <c r="X2" s="2" t="s">
        <v>19</v>
      </c>
      <c r="Y2" s="2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27</v>
      </c>
      <c r="AE2" s="3" t="s">
        <v>58</v>
      </c>
      <c r="AF2" s="3" t="s">
        <v>28</v>
      </c>
      <c r="AG2" s="3" t="s">
        <v>59</v>
      </c>
      <c r="AH2" s="3" t="s">
        <v>31</v>
      </c>
      <c r="AI2" s="4" t="s">
        <v>55</v>
      </c>
      <c r="AJ2" s="4" t="s">
        <v>33</v>
      </c>
      <c r="AK2" s="4" t="s">
        <v>86</v>
      </c>
      <c r="AL2" s="4" t="s">
        <v>34</v>
      </c>
      <c r="AM2" s="4" t="s">
        <v>35</v>
      </c>
      <c r="AN2" s="4" t="s">
        <v>36</v>
      </c>
      <c r="AO2" s="11" t="s">
        <v>87</v>
      </c>
      <c r="AP2" s="4" t="s">
        <v>37</v>
      </c>
      <c r="AQ2" s="11" t="s">
        <v>77</v>
      </c>
      <c r="AR2" s="11" t="s">
        <v>78</v>
      </c>
      <c r="AS2" s="11" t="s">
        <v>79</v>
      </c>
      <c r="AT2" s="11" t="s">
        <v>80</v>
      </c>
      <c r="AU2" s="4" t="s">
        <v>38</v>
      </c>
      <c r="AV2" s="4" t="s">
        <v>39</v>
      </c>
      <c r="AW2" s="4" t="s">
        <v>41</v>
      </c>
      <c r="AX2" s="4" t="s">
        <v>40</v>
      </c>
      <c r="AY2" s="5" t="s">
        <v>53</v>
      </c>
      <c r="AZ2" s="9" t="s">
        <v>81</v>
      </c>
      <c r="BA2" s="9" t="s">
        <v>82</v>
      </c>
      <c r="BB2" s="9" t="s">
        <v>83</v>
      </c>
      <c r="BC2" s="9" t="s">
        <v>84</v>
      </c>
      <c r="BD2" s="6" t="s">
        <v>54</v>
      </c>
      <c r="BE2" s="6" t="s">
        <v>44</v>
      </c>
      <c r="BF2" s="6" t="s">
        <v>16</v>
      </c>
      <c r="BG2" s="6" t="s">
        <v>42</v>
      </c>
      <c r="BH2" s="10" t="s">
        <v>90</v>
      </c>
      <c r="BI2" s="10" t="s">
        <v>91</v>
      </c>
      <c r="BJ2" s="12" t="s">
        <v>66</v>
      </c>
      <c r="BK2" s="12" t="s">
        <v>60</v>
      </c>
      <c r="BL2" s="10" t="s">
        <v>67</v>
      </c>
      <c r="BM2" s="10" t="s">
        <v>68</v>
      </c>
      <c r="BN2" s="10" t="s">
        <v>69</v>
      </c>
      <c r="BO2" s="10" t="s">
        <v>70</v>
      </c>
      <c r="BP2" s="10" t="s">
        <v>71</v>
      </c>
      <c r="BQ2" s="10" t="s">
        <v>72</v>
      </c>
      <c r="BR2" s="10" t="s">
        <v>73</v>
      </c>
      <c r="BS2" s="10" t="s">
        <v>74</v>
      </c>
      <c r="BT2" s="10" t="s">
        <v>75</v>
      </c>
      <c r="BU2" s="10" t="s">
        <v>56</v>
      </c>
      <c r="BV2" s="10" t="s">
        <v>88</v>
      </c>
      <c r="BW2" s="10" t="s">
        <v>76</v>
      </c>
      <c r="BX2" s="7" t="s">
        <v>57</v>
      </c>
      <c r="BY2" s="13" t="s">
        <v>46</v>
      </c>
      <c r="BZ2" s="13" t="s">
        <v>47</v>
      </c>
      <c r="CA2" s="14" t="s">
        <v>85</v>
      </c>
      <c r="CB2" s="14" t="s">
        <v>89</v>
      </c>
      <c r="CC2" s="13" t="s">
        <v>50</v>
      </c>
      <c r="CD2" s="13" t="s">
        <v>51</v>
      </c>
      <c r="CE2" s="13" t="s">
        <v>49</v>
      </c>
      <c r="CF2" s="13" t="s">
        <v>61</v>
      </c>
      <c r="CG2" s="13" t="s">
        <v>62</v>
      </c>
      <c r="CH2" s="13" t="s">
        <v>63</v>
      </c>
      <c r="CI2" s="13" t="s">
        <v>64</v>
      </c>
      <c r="CJ2" s="13" t="s">
        <v>65</v>
      </c>
      <c r="CK2" s="13" t="s">
        <v>48</v>
      </c>
      <c r="CL2" s="15" t="s">
        <v>92</v>
      </c>
      <c r="CM2" s="16" t="s">
        <v>93</v>
      </c>
      <c r="CN2" s="16" t="s">
        <v>94</v>
      </c>
      <c r="CO2" s="16" t="s">
        <v>95</v>
      </c>
    </row>
    <row r="3" spans="1:93" ht="12" customHeight="1" x14ac:dyDescent="0.2">
      <c r="A3" s="8" t="s">
        <v>101</v>
      </c>
      <c r="B3" s="8">
        <v>50006664</v>
      </c>
      <c r="C3" s="8" t="s">
        <v>102</v>
      </c>
      <c r="D3" s="8" t="s">
        <v>107</v>
      </c>
      <c r="E3" s="8">
        <v>10900</v>
      </c>
      <c r="G3" s="8">
        <v>237</v>
      </c>
      <c r="H3" s="8" t="s">
        <v>103</v>
      </c>
      <c r="L3" s="8">
        <v>999</v>
      </c>
      <c r="W3" s="8" t="str">
        <f>"https://github.com/jinnyco25-cloud/Image/blob/main/" &amp; A3 &amp; "/" &amp; A3 &amp; ".jpg?raw=true"</f>
        <v>https://github.com/jinnyco25-cloud/Image/blob/main/CFA-01502/CFA-01502.jpg?raw=true</v>
      </c>
      <c r="X3" s="18" t="str">
        <f>SUBSTITUTE(W3, ".jpg", "_1.jpg") &amp; CHAR(10) &amp; SUBSTITUTE(W3, ".jpg", "_2.jpg") &amp; CHAR(10) &amp; SUBSTITUTE(W3, ".jpg", "_3.jpg")</f>
        <v>https://github.com/jinnyco25-cloud/Image/blob/main/CFA-01502/CFA-01502_1.jpg?raw=true
https://github.com/jinnyco25-cloud/Image/blob/main/CFA-01502/CFA-01502_2.jpg?raw=true
https://github.com/jinnyco25-cloud/Image/blob/main/CFA-01502/CFA-01502_3.jpg?raw=true</v>
      </c>
      <c r="Y3" s="18" t="str">
        <f>"&lt;img src='https://github.com/jinnyco25-cloud/Image/blob/main/250411/1.jpg?raw=true'&gt;&lt;br&gt;&lt;br&gt;" &amp;"&lt;br&gt;&lt;br&gt;&lt;br&gt;&lt;br&gt;&lt;div style='font-size: 19pt; font-weight: bold; text-align: center;'&gt;" &amp; C3 &amp; "&lt;/div&gt;&lt;br&gt;&lt;br&gt;&lt;br&gt;&lt;br&gt;" &amp;"&lt;img src='" &amp; W3 &amp; "'&gt;&lt;br&gt;&lt;br&gt;&lt;img src='" &amp; SUBSTITUTE(W3, ".jpg", "_1.jpg") &amp; "'&gt;&lt;br&gt;&lt;br&gt;&lt;img src='" &amp; SUBSTITUTE(W3, ".jpg", "_2.jpg") &amp; "'&gt;&lt;br&gt;&lt;br&gt;&lt;img src='" &amp; SUBSTITUTE(W3,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고양이 미스트 라벤더향 237ml 그루밍 스프레이 반려견 반려묘&lt;/div&gt;&lt;br&gt;&lt;br&gt;&lt;br&gt;&lt;br&gt;&lt;img src='https://github.com/jinnyco25-cloud/Image/blob/main/CFA-01502/CFA-01502.jpg?raw=true'&gt;&lt;br&gt;&lt;br&gt;&lt;img src='https://github.com/jinnyco25-cloud/Image/blob/main/CFA-01502/CFA-01502_1.jpg?raw=true'&gt;&lt;br&gt;&lt;br&gt;&lt;img src='https://github.com/jinnyco25-cloud/Image/blob/main/CFA-01502/CFA-01502_2.jpg?raw=true'&gt;&lt;br&gt;&lt;br&gt;&lt;img src='https://github.com/jinnyco25-cloud/Image/blob/main/CFA-01502/CFA-01502_3.jpg?raw=true'&gt;&lt;br&gt;&lt;br&gt;&lt;div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3" s="8" t="s">
        <v>104</v>
      </c>
      <c r="AA3" s="8" t="s">
        <v>105</v>
      </c>
      <c r="AD3" s="17" t="s">
        <v>110</v>
      </c>
      <c r="AE3" s="8" t="s">
        <v>106</v>
      </c>
      <c r="BE3" s="8" t="s">
        <v>108</v>
      </c>
      <c r="BF3" s="8" t="s">
        <v>109</v>
      </c>
      <c r="BH3" s="8">
        <v>1000</v>
      </c>
      <c r="BI3" s="8" t="s">
        <v>4</v>
      </c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5">
    <dataValidation type="decimal" allowBlank="1" showInputMessage="1" showErrorMessage="1" sqref="A1:Y1 I3:I1048576" xr:uid="{FED8E8AC-F8DB-7D45-AE62-49FBCA5F9B3D}">
      <formula1>0.01</formula1>
      <formula2>999999999</formula2>
    </dataValidation>
    <dataValidation type="list" allowBlank="1" showInputMessage="1" showErrorMessage="1" sqref="J3:J594" xr:uid="{0A4A4C2B-0622-E14B-B46E-22B88EFAC04F}">
      <formula1>"과세상품,면세상품,영세상품"</formula1>
    </dataValidation>
    <dataValidation type="list" allowBlank="1" showInputMessage="1" showErrorMessage="1" sqref="D3:D594" xr:uid="{282892DA-3970-CE40-89F2-17427AA0C440}">
      <formula1>"신상품,중고상품"</formula1>
    </dataValidation>
    <dataValidation type="list" allowBlank="1" showInputMessage="1" showErrorMessage="1" sqref="M3:M594" xr:uid="{C8337FB6-7948-984B-9FDF-F85FB7E247D3}">
      <formula1>"단독형,조합형"</formula1>
    </dataValidation>
    <dataValidation type="list" allowBlank="1" showInputMessage="1" showErrorMessage="1" sqref="F3:F1048576 CK3:CK594 CE3:CE594 CB3:CB594 BZ3:BZ594 AX3:AX594" xr:uid="{250CBE5F-EF83-F848-B9C2-7F2105A0B5CB}">
      <formula1>"Y,N"</formula1>
    </dataValidation>
    <dataValidation type="list" allowBlank="1" showInputMessage="1" showErrorMessage="1" sqref="BI3:BI594 BO3:BO594 BK3:BK594 BQ3:BQ594" xr:uid="{C97D1B1F-B73F-7044-91D5-94390CFA0E3F}">
      <formula1>"%,원"</formula1>
    </dataValidation>
    <dataValidation type="list" allowBlank="1" showInputMessage="1" showErrorMessage="1" sqref="BM3:BM594" xr:uid="{ECF87E5A-ECC8-104D-A73C-4595FF932267}">
      <formula1>"개,원"</formula1>
    </dataValidation>
    <dataValidation type="list" allowBlank="1" showInputMessage="1" showErrorMessage="1" sqref="BW3:BW594" xr:uid="{8664FFAE-DA96-6A42-B40F-0FFD4F127397}">
      <formula1>"3,6,9,12"</formula1>
    </dataValidation>
    <dataValidation type="list" allowBlank="1" showInputMessage="1" showErrorMessage="1" sqref="AF3:AF594 AH3:AH594" xr:uid="{C8A57348-4CBD-2D43-ADD6-10AD044021B9}">
      <formula1>"N,Y"</formula1>
    </dataValidation>
    <dataValidation type="list" allowBlank="1" showInputMessage="1" showErrorMessage="1" sqref="H3:H1048576" xr:uid="{160E819E-597C-45C3-A3F0-4F8BA9C1BBFB}">
      <formula1>"g,kg,ml,L,cm,m,개,개입,매,매입,정,캡슐,구미,포,구"</formula1>
    </dataValidation>
    <dataValidation type="whole" allowBlank="1" showInputMessage="1" showErrorMessage="1" sqref="G3:G1048576" xr:uid="{EAE877FA-9A5F-884E-BD0C-4F5D28912FFC}">
      <formula1>1</formula1>
      <formula2>999</formula2>
    </dataValidation>
    <dataValidation type="list" showInputMessage="1" showErrorMessage="1" sqref="K3:K1048576" xr:uid="{53B19E32-CE4A-4E83-B91D-5D19E9C0538C}">
      <formula1>"부과 대상 아님,관부가세 포함,관부가세 미포함"</formula1>
    </dataValidation>
    <dataValidation type="list" allowBlank="1" showInputMessage="1" showErrorMessage="1" sqref="AJ3:AJ594" xr:uid="{3FE56B1C-5E7F-2747-9493-513D3EBA6A32}">
      <formula1>"택배‚ 소포‚ 등기,직접배송(화물배달)"</formula1>
    </dataValidation>
    <dataValidation type="list" allowBlank="1" showInputMessage="1" showErrorMessage="1" sqref="AL3:AL594" xr:uid="{E28C903F-15D7-BD4E-8CA0-86E6BF9AA95A}">
      <formula1>"무료,조건부 무료,유료,수량별,구간별"</formula1>
    </dataValidation>
    <dataValidation type="list" allowBlank="1" showInputMessage="1" showErrorMessage="1" sqref="AN3:AN594" xr:uid="{E8B95385-8D85-404C-B72C-CF681A118F2B}">
      <formula1>"착불,선결제,착불 또는 선결제"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원재 정</cp:lastModifiedBy>
  <dcterms:created xsi:type="dcterms:W3CDTF">2021-12-08T06:30:07Z</dcterms:created>
  <dcterms:modified xsi:type="dcterms:W3CDTF">2026-03-12T08:32:26Z</dcterms:modified>
</cp:coreProperties>
</file>